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c94d4e7289b3fe4/Рабочий стол/ЭКЗАМЕН/"/>
    </mc:Choice>
  </mc:AlternateContent>
  <xr:revisionPtr revIDLastSave="0" documentId="8_{2C8FEFA9-9857-4FEC-9BE9-5440D31E71F4}" xr6:coauthVersionLast="47" xr6:coauthVersionMax="47" xr10:uidLastSave="{00000000-0000-0000-0000-000000000000}"/>
  <bookViews>
    <workbookView xWindow="1860" yWindow="1860" windowWidth="13220" windowHeight="9970" activeTab="2" xr2:uid="{00000000-000D-0000-FFFF-FFFF00000000}"/>
  </bookViews>
  <sheets>
    <sheet name="19" sheetId="1" r:id="rId1"/>
    <sheet name="20" sheetId="2" r:id="rId2"/>
    <sheet name="23" sheetId="3" r:id="rId3"/>
    <sheet name="21" sheetId="4" r:id="rId4"/>
    <sheet name="22" sheetId="5" r:id="rId5"/>
    <sheet name="24" sheetId="6" r:id="rId6"/>
  </sheets>
  <definedNames>
    <definedName name="solver_adj" localSheetId="0" hidden="1">'19'!$B$5:$C$5</definedName>
    <definedName name="solver_adj" localSheetId="1" hidden="1">'20'!$B$6:$D$6</definedName>
    <definedName name="solver_adj" localSheetId="3" hidden="1">'21'!$B$9:$E$12</definedName>
    <definedName name="solver_adj" localSheetId="4" hidden="1">'22'!$B$8:$G$10</definedName>
    <definedName name="solver_adj" localSheetId="2" hidden="1">'23'!$B$6:$D$6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cvg" localSheetId="2" hidden="1">0.0001</definedName>
    <definedName name="solver_drv" localSheetId="0" hidden="1">2</definedName>
    <definedName name="solver_drv" localSheetId="1" hidden="1">1</definedName>
    <definedName name="solver_drv" localSheetId="3" hidden="1">1</definedName>
    <definedName name="solver_drv" localSheetId="4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3" hidden="1">2</definedName>
    <definedName name="solver_eng" localSheetId="4" hidden="1">2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4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4" hidden="1">2147483647</definedName>
    <definedName name="solver_itr" localSheetId="2" hidden="1">2147483647</definedName>
    <definedName name="solver_lhs1" localSheetId="0" hidden="1">'19'!$B$5:$C$5</definedName>
    <definedName name="solver_lhs1" localSheetId="1" hidden="1">'20'!$B$6:$D$6</definedName>
    <definedName name="solver_lhs1" localSheetId="3" hidden="1">'21'!$B$13:$E$13</definedName>
    <definedName name="solver_lhs1" localSheetId="4" hidden="1">'22'!$B$11:$G$11</definedName>
    <definedName name="solver_lhs1" localSheetId="2" hidden="1">'23'!$B$6:$D$6</definedName>
    <definedName name="solver_lhs2" localSheetId="0" hidden="1">'19'!$B$5:$C$5</definedName>
    <definedName name="solver_lhs2" localSheetId="1" hidden="1">'20'!$B$6:$D$6</definedName>
    <definedName name="solver_lhs2" localSheetId="3" hidden="1">'21'!$B$9:$E$12</definedName>
    <definedName name="solver_lhs2" localSheetId="4" hidden="1">'22'!$B$8:$G$10</definedName>
    <definedName name="solver_lhs2" localSheetId="2" hidden="1">'23'!$B$6:$D$6</definedName>
    <definedName name="solver_lhs3" localSheetId="0" hidden="1">'19'!$B$6:$E$6</definedName>
    <definedName name="solver_lhs3" localSheetId="1" hidden="1">'20'!$F$2:$F$4</definedName>
    <definedName name="solver_lhs3" localSheetId="3" hidden="1">'21'!$B$9:$E$12</definedName>
    <definedName name="solver_lhs3" localSheetId="4" hidden="1">'22'!$B$8:$G$10</definedName>
    <definedName name="solver_lhs3" localSheetId="2" hidden="1">'23'!$F$2:$F$4</definedName>
    <definedName name="solver_lhs4" localSheetId="3" hidden="1">'21'!$F$9:$F$12</definedName>
    <definedName name="solver_lhs4" localSheetId="4" hidden="1">'22'!$H$8:$H$10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4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4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4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4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4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4" hidden="1">2147483647</definedName>
    <definedName name="solver_nod" localSheetId="2" hidden="1">2147483647</definedName>
    <definedName name="solver_num" localSheetId="0" hidden="1">3</definedName>
    <definedName name="solver_num" localSheetId="1" hidden="1">3</definedName>
    <definedName name="solver_num" localSheetId="3" hidden="1">4</definedName>
    <definedName name="solver_num" localSheetId="4" hidden="1">4</definedName>
    <definedName name="solver_num" localSheetId="2" hidden="1">3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4" hidden="1">1</definedName>
    <definedName name="solver_nwt" localSheetId="2" hidden="1">1</definedName>
    <definedName name="solver_opt" localSheetId="0" hidden="1">'19'!$F$5</definedName>
    <definedName name="solver_opt" localSheetId="1" hidden="1">'20'!$E$5</definedName>
    <definedName name="solver_opt" localSheetId="3" hidden="1">'21'!$B$15</definedName>
    <definedName name="solver_opt" localSheetId="4" hidden="1">'22'!$B$13</definedName>
    <definedName name="solver_opt" localSheetId="2" hidden="1">'23'!$E$5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pre" localSheetId="2" hidden="1">0.000001</definedName>
    <definedName name="solver_rbv" localSheetId="0" hidden="1">2</definedName>
    <definedName name="solver_rbv" localSheetId="1" hidden="1">1</definedName>
    <definedName name="solver_rbv" localSheetId="3" hidden="1">1</definedName>
    <definedName name="solver_rbv" localSheetId="4" hidden="1">1</definedName>
    <definedName name="solver_rbv" localSheetId="2" hidden="1">1</definedName>
    <definedName name="solver_rel1" localSheetId="0" hidden="1">4</definedName>
    <definedName name="solver_rel1" localSheetId="1" hidden="1">4</definedName>
    <definedName name="solver_rel1" localSheetId="3" hidden="1">2</definedName>
    <definedName name="solver_rel1" localSheetId="4" hidden="1">2</definedName>
    <definedName name="solver_rel1" localSheetId="2" hidden="1">4</definedName>
    <definedName name="solver_rel2" localSheetId="0" hidden="1">3</definedName>
    <definedName name="solver_rel2" localSheetId="1" hidden="1">3</definedName>
    <definedName name="solver_rel2" localSheetId="3" hidden="1">4</definedName>
    <definedName name="solver_rel2" localSheetId="4" hidden="1">4</definedName>
    <definedName name="solver_rel2" localSheetId="2" hidden="1">3</definedName>
    <definedName name="solver_rel3" localSheetId="0" hidden="1">1</definedName>
    <definedName name="solver_rel3" localSheetId="1" hidden="1">1</definedName>
    <definedName name="solver_rel3" localSheetId="3" hidden="1">3</definedName>
    <definedName name="solver_rel3" localSheetId="4" hidden="1">3</definedName>
    <definedName name="solver_rel3" localSheetId="2" hidden="1">1</definedName>
    <definedName name="solver_rel4" localSheetId="3" hidden="1">2</definedName>
    <definedName name="solver_rel4" localSheetId="4" hidden="1">2</definedName>
    <definedName name="solver_rhs1" localSheetId="0" hidden="1">целое</definedName>
    <definedName name="solver_rhs1" localSheetId="1" hidden="1">целое</definedName>
    <definedName name="solver_rhs1" localSheetId="3" hidden="1">'21'!$B$6:$E$6</definedName>
    <definedName name="solver_rhs1" localSheetId="4" hidden="1">'22'!$B$5:$G$5</definedName>
    <definedName name="solver_rhs1" localSheetId="2" hidden="1">целое</definedName>
    <definedName name="solver_rhs2" localSheetId="0" hidden="1">0</definedName>
    <definedName name="solver_rhs2" localSheetId="1" hidden="1">0</definedName>
    <definedName name="solver_rhs2" localSheetId="3" hidden="1">целое</definedName>
    <definedName name="solver_rhs2" localSheetId="4" hidden="1">целое</definedName>
    <definedName name="solver_rhs2" localSheetId="2" hidden="1">0</definedName>
    <definedName name="solver_rhs3" localSheetId="0" hidden="1">'19'!$B$4:$E$4</definedName>
    <definedName name="solver_rhs3" localSheetId="1" hidden="1">'20'!$E$2:$E$4</definedName>
    <definedName name="solver_rhs3" localSheetId="3" hidden="1">0</definedName>
    <definedName name="solver_rhs3" localSheetId="4" hidden="1">0</definedName>
    <definedName name="solver_rhs3" localSheetId="2" hidden="1">'23'!$E$2:$E$4</definedName>
    <definedName name="solver_rhs4" localSheetId="3" hidden="1">'21'!$F$2:$F$5</definedName>
    <definedName name="solver_rhs4" localSheetId="4" hidden="1">'22'!$H$2:$H$4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4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4" hidden="1">0</definedName>
    <definedName name="solver_rsd" localSheetId="2" hidden="1">0</definedName>
    <definedName name="solver_scl" localSheetId="0" hidden="1">2</definedName>
    <definedName name="solver_scl" localSheetId="1" hidden="1">1</definedName>
    <definedName name="solver_scl" localSheetId="3" hidden="1">1</definedName>
    <definedName name="solver_scl" localSheetId="4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4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4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4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3" hidden="1">2</definedName>
    <definedName name="solver_typ" localSheetId="4" hidden="1">2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4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6" l="1"/>
  <c r="B9" i="6"/>
  <c r="D17" i="6"/>
  <c r="E17" i="6"/>
  <c r="F17" i="6"/>
  <c r="E18" i="6"/>
  <c r="F18" i="6"/>
  <c r="B19" i="6"/>
  <c r="F19" i="6"/>
  <c r="C20" i="6"/>
  <c r="C16" i="6"/>
  <c r="D16" i="6"/>
  <c r="E16" i="6"/>
  <c r="F16" i="6"/>
  <c r="B10" i="6"/>
  <c r="G10" i="6" s="1"/>
  <c r="D10" i="6"/>
  <c r="E10" i="6"/>
  <c r="F10" i="6"/>
  <c r="B11" i="6"/>
  <c r="C11" i="6"/>
  <c r="D11" i="6"/>
  <c r="E11" i="6"/>
  <c r="F11" i="6"/>
  <c r="B12" i="6"/>
  <c r="C12" i="6"/>
  <c r="G12" i="6" s="1"/>
  <c r="D12" i="6"/>
  <c r="E12" i="6"/>
  <c r="F12" i="6"/>
  <c r="B13" i="6"/>
  <c r="C13" i="6"/>
  <c r="D13" i="6"/>
  <c r="E13" i="6"/>
  <c r="F13" i="6"/>
  <c r="C9" i="6"/>
  <c r="D9" i="6"/>
  <c r="E9" i="6"/>
  <c r="F9" i="6"/>
  <c r="E5" i="2"/>
  <c r="B13" i="5"/>
  <c r="H9" i="5"/>
  <c r="H10" i="5"/>
  <c r="H8" i="5"/>
  <c r="C11" i="5"/>
  <c r="D11" i="5"/>
  <c r="E11" i="5"/>
  <c r="F11" i="5"/>
  <c r="G11" i="5"/>
  <c r="B11" i="5"/>
  <c r="C13" i="4"/>
  <c r="D13" i="4"/>
  <c r="E13" i="4"/>
  <c r="B13" i="4"/>
  <c r="B15" i="4"/>
  <c r="F12" i="4"/>
  <c r="F10" i="4"/>
  <c r="F11" i="4"/>
  <c r="F9" i="4"/>
  <c r="E5" i="3"/>
  <c r="F3" i="3"/>
  <c r="F4" i="3"/>
  <c r="F2" i="3"/>
  <c r="F2" i="2"/>
  <c r="F3" i="2"/>
  <c r="F4" i="2"/>
  <c r="F5" i="1"/>
  <c r="B6" i="1"/>
  <c r="C6" i="1"/>
  <c r="D6" i="1"/>
  <c r="E6" i="1"/>
  <c r="D19" i="6" l="1"/>
  <c r="E20" i="6"/>
  <c r="G11" i="6"/>
  <c r="G13" i="6"/>
  <c r="B20" i="6" s="1"/>
  <c r="C18" i="6"/>
  <c r="B17" i="6"/>
  <c r="G9" i="6"/>
  <c r="B18" i="6" l="1"/>
  <c r="C19" i="6"/>
  <c r="D20" i="6"/>
  <c r="B16" i="6"/>
  <c r="G16" i="6" s="1"/>
  <c r="C17" i="6"/>
  <c r="G17" i="6" s="1"/>
  <c r="E19" i="6"/>
  <c r="G19" i="6" s="1"/>
  <c r="F20" i="6"/>
  <c r="G20" i="6" s="1"/>
  <c r="D18" i="6"/>
  <c r="G18" i="6" s="1"/>
</calcChain>
</file>

<file path=xl/sharedStrings.xml><?xml version="1.0" encoding="utf-8"?>
<sst xmlns="http://schemas.openxmlformats.org/spreadsheetml/2006/main" count="80" uniqueCount="33">
  <si>
    <t>s1</t>
  </si>
  <si>
    <t>s2</t>
  </si>
  <si>
    <t>s3</t>
  </si>
  <si>
    <t>s4</t>
  </si>
  <si>
    <t>p1</t>
  </si>
  <si>
    <t>p2</t>
  </si>
  <si>
    <t>прибыль</t>
  </si>
  <si>
    <t>запас</t>
  </si>
  <si>
    <t>план</t>
  </si>
  <si>
    <t>расход</t>
  </si>
  <si>
    <t>p3</t>
  </si>
  <si>
    <t>сыр 1</t>
  </si>
  <si>
    <t>сыр 2</t>
  </si>
  <si>
    <t>сыр 3</t>
  </si>
  <si>
    <t>а1</t>
  </si>
  <si>
    <t>а2</t>
  </si>
  <si>
    <t>а3</t>
  </si>
  <si>
    <t>b1</t>
  </si>
  <si>
    <t>b2</t>
  </si>
  <si>
    <t>b3</t>
  </si>
  <si>
    <t>b4</t>
  </si>
  <si>
    <t>потреб</t>
  </si>
  <si>
    <t>афикт</t>
  </si>
  <si>
    <t>стоимость</t>
  </si>
  <si>
    <t>a1</t>
  </si>
  <si>
    <t>a2</t>
  </si>
  <si>
    <t>a3</t>
  </si>
  <si>
    <t>потр</t>
  </si>
  <si>
    <t>b5</t>
  </si>
  <si>
    <t>итог</t>
  </si>
  <si>
    <t>x/x1</t>
  </si>
  <si>
    <t>макс p1+p2</t>
  </si>
  <si>
    <t>всего x \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</si>
</sst>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F13" sqref="F13"/>
    </sheetView>
  </sheetViews>
  <sheetFormatPr defaultRowHeight="14.5" x14ac:dyDescent="0.35"/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</row>
    <row r="2" spans="1:6" x14ac:dyDescent="0.35">
      <c r="A2" s="1" t="s">
        <v>4</v>
      </c>
      <c r="B2" s="1">
        <v>1</v>
      </c>
      <c r="C2" s="1">
        <v>2</v>
      </c>
      <c r="D2" s="1">
        <v>0</v>
      </c>
      <c r="E2" s="1">
        <v>3</v>
      </c>
      <c r="F2" s="1">
        <v>2</v>
      </c>
    </row>
    <row r="3" spans="1:6" x14ac:dyDescent="0.35">
      <c r="A3" s="1" t="s">
        <v>5</v>
      </c>
      <c r="B3" s="1">
        <v>3</v>
      </c>
      <c r="C3" s="1">
        <v>1</v>
      </c>
      <c r="D3" s="1">
        <v>1</v>
      </c>
      <c r="E3" s="1">
        <v>0</v>
      </c>
      <c r="F3" s="1">
        <v>3</v>
      </c>
    </row>
    <row r="4" spans="1:6" x14ac:dyDescent="0.35">
      <c r="A4" s="1" t="s">
        <v>7</v>
      </c>
      <c r="B4" s="1">
        <v>18</v>
      </c>
      <c r="C4" s="1">
        <v>16</v>
      </c>
      <c r="D4" s="1">
        <v>5</v>
      </c>
      <c r="E4" s="1">
        <v>21</v>
      </c>
      <c r="F4" s="1"/>
    </row>
    <row r="5" spans="1:6" x14ac:dyDescent="0.35">
      <c r="A5" s="2" t="s">
        <v>8</v>
      </c>
      <c r="B5" s="2">
        <v>6</v>
      </c>
      <c r="C5" s="2">
        <v>4</v>
      </c>
      <c r="F5">
        <f>F2*B5+F3*C5</f>
        <v>24</v>
      </c>
    </row>
    <row r="6" spans="1:6" x14ac:dyDescent="0.35">
      <c r="A6" s="2" t="s">
        <v>9</v>
      </c>
      <c r="B6">
        <f>B2*$B$5+B3*$C$5</f>
        <v>18</v>
      </c>
      <c r="C6">
        <f t="shared" ref="C6:E6" si="0">C2*$B$5+C3*$C$5</f>
        <v>16</v>
      </c>
      <c r="D6">
        <f t="shared" si="0"/>
        <v>4</v>
      </c>
      <c r="E6">
        <f t="shared" si="0"/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E5" sqref="E5"/>
    </sheetView>
  </sheetViews>
  <sheetFormatPr defaultRowHeight="14.5" x14ac:dyDescent="0.35"/>
  <sheetData>
    <row r="1" spans="1:6" x14ac:dyDescent="0.35">
      <c r="A1" s="1"/>
      <c r="B1" s="1" t="s">
        <v>4</v>
      </c>
      <c r="C1" s="1" t="s">
        <v>5</v>
      </c>
      <c r="D1" s="1" t="s">
        <v>10</v>
      </c>
      <c r="E1" s="1" t="s">
        <v>7</v>
      </c>
      <c r="F1" s="2" t="s">
        <v>9</v>
      </c>
    </row>
    <row r="2" spans="1:6" x14ac:dyDescent="0.35">
      <c r="A2" s="1" t="s">
        <v>11</v>
      </c>
      <c r="B2" s="1">
        <v>2</v>
      </c>
      <c r="C2" s="1">
        <v>1</v>
      </c>
      <c r="D2" s="1">
        <v>4</v>
      </c>
      <c r="E2" s="1">
        <v>300</v>
      </c>
      <c r="F2">
        <f>B2*$B$6+C2*$C$6+D2*$D$6</f>
        <v>275</v>
      </c>
    </row>
    <row r="3" spans="1:6" x14ac:dyDescent="0.35">
      <c r="A3" s="1" t="s">
        <v>12</v>
      </c>
      <c r="B3" s="1">
        <v>1</v>
      </c>
      <c r="C3" s="1">
        <v>0</v>
      </c>
      <c r="D3" s="1">
        <v>2</v>
      </c>
      <c r="E3" s="1">
        <v>70</v>
      </c>
      <c r="F3">
        <f t="shared" ref="F3:F4" si="0">B3*$B$6+C3*$C$6+D3*$D$6</f>
        <v>70</v>
      </c>
    </row>
    <row r="4" spans="1:6" x14ac:dyDescent="0.35">
      <c r="A4" s="1" t="s">
        <v>13</v>
      </c>
      <c r="B4" s="1">
        <v>1</v>
      </c>
      <c r="C4" s="1">
        <v>2</v>
      </c>
      <c r="D4" s="1">
        <v>1</v>
      </c>
      <c r="E4" s="1">
        <v>340</v>
      </c>
      <c r="F4">
        <f t="shared" si="0"/>
        <v>340</v>
      </c>
    </row>
    <row r="5" spans="1:6" x14ac:dyDescent="0.35">
      <c r="A5" s="1" t="s">
        <v>6</v>
      </c>
      <c r="B5" s="1">
        <v>8</v>
      </c>
      <c r="C5" s="1">
        <v>3</v>
      </c>
      <c r="D5" s="1">
        <v>2</v>
      </c>
      <c r="E5" s="3">
        <f>B6*B5+C5*C6+D5*D6</f>
        <v>965</v>
      </c>
    </row>
    <row r="6" spans="1:6" x14ac:dyDescent="0.35">
      <c r="A6" s="2" t="s">
        <v>8</v>
      </c>
      <c r="B6" s="2">
        <v>70</v>
      </c>
      <c r="C6" s="2">
        <v>135</v>
      </c>
      <c r="D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F18" sqref="F18"/>
    </sheetView>
  </sheetViews>
  <sheetFormatPr defaultRowHeight="14.5" x14ac:dyDescent="0.35"/>
  <sheetData>
    <row r="1" spans="1:6" x14ac:dyDescent="0.35">
      <c r="B1" t="s">
        <v>4</v>
      </c>
      <c r="C1" t="s">
        <v>5</v>
      </c>
      <c r="D1" t="s">
        <v>10</v>
      </c>
      <c r="E1" t="s">
        <v>7</v>
      </c>
      <c r="F1" t="s">
        <v>9</v>
      </c>
    </row>
    <row r="2" spans="1:6" x14ac:dyDescent="0.35">
      <c r="A2" t="s">
        <v>11</v>
      </c>
      <c r="B2">
        <v>2</v>
      </c>
      <c r="C2">
        <v>1</v>
      </c>
      <c r="D2">
        <v>4</v>
      </c>
      <c r="E2">
        <v>300</v>
      </c>
      <c r="F2">
        <f>B2*$B$6+C2*$C$6+D2*$D$6</f>
        <v>275</v>
      </c>
    </row>
    <row r="3" spans="1:6" x14ac:dyDescent="0.35">
      <c r="A3" t="s">
        <v>12</v>
      </c>
      <c r="B3">
        <v>1</v>
      </c>
      <c r="C3">
        <v>0</v>
      </c>
      <c r="D3">
        <v>2</v>
      </c>
      <c r="E3">
        <v>70</v>
      </c>
      <c r="F3">
        <f t="shared" ref="F3:F4" si="0">B3*$B$6+C3*$C$6+D3*$D$6</f>
        <v>70</v>
      </c>
    </row>
    <row r="4" spans="1:6" x14ac:dyDescent="0.35">
      <c r="A4" t="s">
        <v>13</v>
      </c>
      <c r="B4">
        <v>1</v>
      </c>
      <c r="C4">
        <v>2</v>
      </c>
      <c r="D4">
        <v>1</v>
      </c>
      <c r="E4">
        <v>340</v>
      </c>
      <c r="F4">
        <f t="shared" si="0"/>
        <v>340</v>
      </c>
    </row>
    <row r="5" spans="1:6" x14ac:dyDescent="0.35">
      <c r="A5" t="s">
        <v>6</v>
      </c>
      <c r="B5">
        <v>8</v>
      </c>
      <c r="C5">
        <v>3</v>
      </c>
      <c r="D5">
        <v>2</v>
      </c>
      <c r="E5">
        <f>B6*B5+C5*C6+D5*D6</f>
        <v>965</v>
      </c>
    </row>
    <row r="6" spans="1:6" x14ac:dyDescent="0.35">
      <c r="A6" t="s">
        <v>8</v>
      </c>
      <c r="B6">
        <v>70</v>
      </c>
      <c r="C6">
        <v>135</v>
      </c>
      <c r="D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B15" sqref="B15"/>
    </sheetView>
  </sheetViews>
  <sheetFormatPr defaultRowHeight="14.5" x14ac:dyDescent="0.35"/>
  <cols>
    <col min="1" max="1" width="9.7265625" customWidth="1"/>
  </cols>
  <sheetData>
    <row r="1" spans="1:6" x14ac:dyDescent="0.35">
      <c r="A1" s="1"/>
      <c r="B1" s="1" t="s">
        <v>17</v>
      </c>
      <c r="C1" s="1" t="s">
        <v>18</v>
      </c>
      <c r="D1" s="1" t="s">
        <v>19</v>
      </c>
      <c r="E1" s="1" t="s">
        <v>20</v>
      </c>
      <c r="F1" s="1" t="s">
        <v>7</v>
      </c>
    </row>
    <row r="2" spans="1:6" x14ac:dyDescent="0.35">
      <c r="A2" s="1" t="s">
        <v>14</v>
      </c>
      <c r="B2" s="1">
        <v>1</v>
      </c>
      <c r="C2" s="1">
        <v>2</v>
      </c>
      <c r="D2" s="1">
        <v>4</v>
      </c>
      <c r="E2" s="1">
        <v>3</v>
      </c>
      <c r="F2" s="1">
        <v>6</v>
      </c>
    </row>
    <row r="3" spans="1:6" x14ac:dyDescent="0.35">
      <c r="A3" s="1" t="s">
        <v>15</v>
      </c>
      <c r="B3" s="1">
        <v>4</v>
      </c>
      <c r="C3" s="1">
        <v>3</v>
      </c>
      <c r="D3" s="1">
        <v>8</v>
      </c>
      <c r="E3" s="1">
        <v>5</v>
      </c>
      <c r="F3" s="1">
        <v>8</v>
      </c>
    </row>
    <row r="4" spans="1:6" x14ac:dyDescent="0.35">
      <c r="A4" s="1" t="s">
        <v>16</v>
      </c>
      <c r="B4" s="1">
        <v>2</v>
      </c>
      <c r="C4" s="1">
        <v>7</v>
      </c>
      <c r="D4" s="1">
        <v>6</v>
      </c>
      <c r="E4" s="1">
        <v>3</v>
      </c>
      <c r="F4" s="1">
        <v>10</v>
      </c>
    </row>
    <row r="5" spans="1:6" x14ac:dyDescent="0.35">
      <c r="A5" s="4" t="s">
        <v>22</v>
      </c>
      <c r="B5" s="1">
        <v>0</v>
      </c>
      <c r="C5" s="1">
        <v>0</v>
      </c>
      <c r="D5" s="1">
        <v>0</v>
      </c>
      <c r="E5" s="1">
        <v>0</v>
      </c>
      <c r="F5" s="1">
        <v>2</v>
      </c>
    </row>
    <row r="6" spans="1:6" x14ac:dyDescent="0.35">
      <c r="A6" s="1" t="s">
        <v>21</v>
      </c>
      <c r="B6" s="1">
        <v>4</v>
      </c>
      <c r="C6" s="1">
        <v>6</v>
      </c>
      <c r="D6" s="1">
        <v>8</v>
      </c>
      <c r="E6" s="1">
        <v>8</v>
      </c>
      <c r="F6" s="1"/>
    </row>
    <row r="8" spans="1:6" x14ac:dyDescent="0.35">
      <c r="A8" s="1"/>
      <c r="B8" s="1" t="s">
        <v>17</v>
      </c>
      <c r="C8" s="1" t="s">
        <v>18</v>
      </c>
      <c r="D8" s="1" t="s">
        <v>19</v>
      </c>
      <c r="E8" s="1" t="s">
        <v>20</v>
      </c>
      <c r="F8" s="1" t="s">
        <v>7</v>
      </c>
    </row>
    <row r="9" spans="1:6" x14ac:dyDescent="0.35">
      <c r="A9" s="1" t="s">
        <v>14</v>
      </c>
      <c r="B9" s="1">
        <v>0</v>
      </c>
      <c r="C9" s="1">
        <v>0</v>
      </c>
      <c r="D9" s="1">
        <v>6</v>
      </c>
      <c r="E9" s="1">
        <v>0</v>
      </c>
      <c r="F9" s="1">
        <f>SUM(B9:E9)</f>
        <v>6</v>
      </c>
    </row>
    <row r="10" spans="1:6" x14ac:dyDescent="0.35">
      <c r="A10" s="1" t="s">
        <v>15</v>
      </c>
      <c r="B10" s="1">
        <v>2</v>
      </c>
      <c r="C10" s="1">
        <v>6</v>
      </c>
      <c r="D10" s="1">
        <v>0</v>
      </c>
      <c r="E10" s="1">
        <v>0</v>
      </c>
      <c r="F10" s="1">
        <f t="shared" ref="F10:F12" si="0">SUM(B10:E10)</f>
        <v>8</v>
      </c>
    </row>
    <row r="11" spans="1:6" x14ac:dyDescent="0.35">
      <c r="A11" s="1" t="s">
        <v>16</v>
      </c>
      <c r="B11" s="1">
        <v>2</v>
      </c>
      <c r="C11" s="1">
        <v>0</v>
      </c>
      <c r="D11" s="1">
        <v>0</v>
      </c>
      <c r="E11" s="1">
        <v>8</v>
      </c>
      <c r="F11" s="1">
        <f t="shared" si="0"/>
        <v>10</v>
      </c>
    </row>
    <row r="12" spans="1:6" x14ac:dyDescent="0.35">
      <c r="A12" s="1" t="s">
        <v>22</v>
      </c>
      <c r="B12" s="1">
        <v>0</v>
      </c>
      <c r="C12" s="1">
        <v>0</v>
      </c>
      <c r="D12" s="1">
        <v>2</v>
      </c>
      <c r="E12" s="1">
        <v>0</v>
      </c>
      <c r="F12" s="1">
        <f t="shared" si="0"/>
        <v>2</v>
      </c>
    </row>
    <row r="13" spans="1:6" x14ac:dyDescent="0.35">
      <c r="A13" s="1" t="s">
        <v>21</v>
      </c>
      <c r="B13" s="1">
        <f>SUM(B9:B12)</f>
        <v>4</v>
      </c>
      <c r="C13" s="1">
        <f t="shared" ref="C13:E13" si="1">SUM(C9:C12)</f>
        <v>6</v>
      </c>
      <c r="D13" s="1">
        <f t="shared" si="1"/>
        <v>8</v>
      </c>
      <c r="E13" s="1">
        <f t="shared" si="1"/>
        <v>8</v>
      </c>
      <c r="F13" s="1"/>
    </row>
    <row r="15" spans="1:6" x14ac:dyDescent="0.35">
      <c r="A15" t="s">
        <v>23</v>
      </c>
      <c r="B15">
        <f>SUMPRODUCT(B2:E5,B9:E12)</f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B14" sqref="B14"/>
    </sheetView>
  </sheetViews>
  <sheetFormatPr defaultRowHeight="14.5" x14ac:dyDescent="0.35"/>
  <sheetData>
    <row r="1" spans="1:8" x14ac:dyDescent="0.35">
      <c r="A1" s="1"/>
      <c r="B1" s="1" t="s">
        <v>17</v>
      </c>
      <c r="C1" s="1" t="s">
        <v>18</v>
      </c>
      <c r="D1" s="1" t="s">
        <v>19</v>
      </c>
      <c r="E1" s="1" t="s">
        <v>20</v>
      </c>
      <c r="F1" s="1" t="s">
        <v>28</v>
      </c>
      <c r="G1" s="2" t="s">
        <v>22</v>
      </c>
      <c r="H1" s="1" t="s">
        <v>7</v>
      </c>
    </row>
    <row r="2" spans="1:8" x14ac:dyDescent="0.35">
      <c r="A2" s="1" t="s">
        <v>24</v>
      </c>
      <c r="B2" s="1">
        <v>10</v>
      </c>
      <c r="C2" s="1">
        <v>11</v>
      </c>
      <c r="D2" s="1">
        <v>6</v>
      </c>
      <c r="E2" s="1">
        <v>7</v>
      </c>
      <c r="F2" s="1">
        <v>8</v>
      </c>
      <c r="G2" s="4">
        <v>0</v>
      </c>
      <c r="H2" s="1">
        <v>300</v>
      </c>
    </row>
    <row r="3" spans="1:8" x14ac:dyDescent="0.35">
      <c r="A3" s="1" t="s">
        <v>25</v>
      </c>
      <c r="B3" s="1">
        <v>10</v>
      </c>
      <c r="C3" s="1">
        <v>11</v>
      </c>
      <c r="D3" s="1">
        <v>8</v>
      </c>
      <c r="E3" s="1">
        <v>9</v>
      </c>
      <c r="F3" s="1">
        <v>12</v>
      </c>
      <c r="G3" s="4">
        <v>0</v>
      </c>
      <c r="H3" s="1">
        <v>150</v>
      </c>
    </row>
    <row r="4" spans="1:8" x14ac:dyDescent="0.35">
      <c r="A4" s="1" t="s">
        <v>26</v>
      </c>
      <c r="B4" s="1">
        <v>12</v>
      </c>
      <c r="C4" s="1">
        <v>12</v>
      </c>
      <c r="D4" s="1">
        <v>10</v>
      </c>
      <c r="E4" s="1">
        <v>12</v>
      </c>
      <c r="F4" s="1">
        <v>14</v>
      </c>
      <c r="G4" s="4">
        <v>0</v>
      </c>
      <c r="H4" s="1">
        <v>200</v>
      </c>
    </row>
    <row r="5" spans="1:8" x14ac:dyDescent="0.35">
      <c r="A5" s="1" t="s">
        <v>27</v>
      </c>
      <c r="B5" s="1">
        <v>50</v>
      </c>
      <c r="C5" s="1">
        <v>200</v>
      </c>
      <c r="D5" s="1">
        <v>60</v>
      </c>
      <c r="E5" s="1">
        <v>100</v>
      </c>
      <c r="F5" s="1">
        <v>40</v>
      </c>
      <c r="G5" s="4">
        <v>200</v>
      </c>
      <c r="H5" s="1"/>
    </row>
    <row r="7" spans="1:8" x14ac:dyDescent="0.35">
      <c r="A7" s="1"/>
      <c r="B7" s="1" t="s">
        <v>17</v>
      </c>
      <c r="C7" s="1" t="s">
        <v>18</v>
      </c>
      <c r="D7" s="1" t="s">
        <v>19</v>
      </c>
      <c r="E7" s="1" t="s">
        <v>20</v>
      </c>
      <c r="F7" s="1" t="s">
        <v>28</v>
      </c>
      <c r="G7" s="2" t="s">
        <v>22</v>
      </c>
      <c r="H7" s="1" t="s">
        <v>7</v>
      </c>
    </row>
    <row r="8" spans="1:8" x14ac:dyDescent="0.35">
      <c r="A8" s="1" t="s">
        <v>24</v>
      </c>
      <c r="B8" s="1">
        <v>0</v>
      </c>
      <c r="C8" s="1">
        <v>100</v>
      </c>
      <c r="D8" s="1">
        <v>60</v>
      </c>
      <c r="E8" s="1">
        <v>100</v>
      </c>
      <c r="F8" s="1">
        <v>40</v>
      </c>
      <c r="G8" s="4">
        <v>0</v>
      </c>
      <c r="H8" s="1">
        <f>SUM(B8:G8)</f>
        <v>300</v>
      </c>
    </row>
    <row r="9" spans="1:8" x14ac:dyDescent="0.35">
      <c r="A9" s="1" t="s">
        <v>25</v>
      </c>
      <c r="B9" s="1">
        <v>50</v>
      </c>
      <c r="C9" s="1">
        <v>100</v>
      </c>
      <c r="D9" s="1">
        <v>0</v>
      </c>
      <c r="E9" s="1">
        <v>0</v>
      </c>
      <c r="F9" s="1">
        <v>0</v>
      </c>
      <c r="G9" s="4">
        <v>0</v>
      </c>
      <c r="H9" s="1">
        <f t="shared" ref="H9:H10" si="0">SUM(B9:G9)</f>
        <v>150</v>
      </c>
    </row>
    <row r="10" spans="1:8" x14ac:dyDescent="0.35">
      <c r="A10" s="1" t="s">
        <v>26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4">
        <v>200</v>
      </c>
      <c r="H10" s="1">
        <f t="shared" si="0"/>
        <v>200</v>
      </c>
    </row>
    <row r="11" spans="1:8" x14ac:dyDescent="0.35">
      <c r="A11" s="1" t="s">
        <v>27</v>
      </c>
      <c r="B11" s="1">
        <f>SUM(B8:B10)</f>
        <v>50</v>
      </c>
      <c r="C11" s="1">
        <f t="shared" ref="C11:G11" si="1">SUM(C8:C10)</f>
        <v>200</v>
      </c>
      <c r="D11" s="1">
        <f t="shared" si="1"/>
        <v>60</v>
      </c>
      <c r="E11" s="1">
        <f t="shared" si="1"/>
        <v>100</v>
      </c>
      <c r="F11" s="1">
        <f t="shared" si="1"/>
        <v>40</v>
      </c>
      <c r="G11" s="1">
        <f t="shared" si="1"/>
        <v>200</v>
      </c>
      <c r="H11" s="1"/>
    </row>
    <row r="13" spans="1:8" x14ac:dyDescent="0.35">
      <c r="A13" t="s">
        <v>29</v>
      </c>
      <c r="B13">
        <f>SUMPRODUCT(B8:G10,B2:G4)</f>
        <v>4080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selection activeCell="B9" sqref="B9"/>
    </sheetView>
  </sheetViews>
  <sheetFormatPr defaultRowHeight="14.5" x14ac:dyDescent="0.35"/>
  <cols>
    <col min="1" max="1" width="15.453125" customWidth="1"/>
    <col min="7" max="7" width="11.26953125" customWidth="1"/>
  </cols>
  <sheetData>
    <row r="1" spans="1:7" x14ac:dyDescent="0.35">
      <c r="A1" s="1"/>
      <c r="B1" s="1" t="s">
        <v>4</v>
      </c>
      <c r="C1" s="1" t="s">
        <v>5</v>
      </c>
      <c r="D1" s="1" t="s">
        <v>10</v>
      </c>
    </row>
    <row r="2" spans="1:7" x14ac:dyDescent="0.35">
      <c r="A2" s="1">
        <v>0</v>
      </c>
      <c r="B2" s="1">
        <v>40</v>
      </c>
      <c r="C2" s="1">
        <v>30</v>
      </c>
      <c r="D2" s="1">
        <v>35</v>
      </c>
    </row>
    <row r="3" spans="1:7" x14ac:dyDescent="0.35">
      <c r="A3" s="1">
        <v>1</v>
      </c>
      <c r="B3" s="1">
        <v>90</v>
      </c>
      <c r="C3" s="1">
        <v>110</v>
      </c>
      <c r="D3" s="1">
        <v>95</v>
      </c>
    </row>
    <row r="4" spans="1:7" x14ac:dyDescent="0.35">
      <c r="A4" s="1">
        <v>2</v>
      </c>
      <c r="B4" s="1">
        <v>395</v>
      </c>
      <c r="C4" s="1">
        <v>385</v>
      </c>
      <c r="D4" s="1">
        <v>270</v>
      </c>
    </row>
    <row r="5" spans="1:7" x14ac:dyDescent="0.35">
      <c r="A5" s="1">
        <v>3</v>
      </c>
      <c r="B5" s="1">
        <v>440</v>
      </c>
      <c r="C5" s="1">
        <v>470</v>
      </c>
      <c r="D5" s="1">
        <v>630</v>
      </c>
    </row>
    <row r="6" spans="1:7" x14ac:dyDescent="0.35">
      <c r="A6" s="1">
        <v>4</v>
      </c>
      <c r="B6" s="1">
        <v>620</v>
      </c>
      <c r="C6" s="1">
        <v>740</v>
      </c>
      <c r="D6" s="1">
        <v>700</v>
      </c>
    </row>
    <row r="8" spans="1:7" x14ac:dyDescent="0.35">
      <c r="A8" t="s">
        <v>30</v>
      </c>
      <c r="B8">
        <v>0</v>
      </c>
      <c r="C8">
        <v>1</v>
      </c>
      <c r="D8">
        <v>2</v>
      </c>
      <c r="E8">
        <v>3</v>
      </c>
      <c r="F8">
        <v>4</v>
      </c>
      <c r="G8" t="s">
        <v>31</v>
      </c>
    </row>
    <row r="9" spans="1:7" x14ac:dyDescent="0.35">
      <c r="A9">
        <v>0</v>
      </c>
      <c r="B9">
        <f>IF($A9&gt;=B$8, INDEX($B$2:$B$6, MATCH(B$8, $A$2:$A$6, 0)) + INDEX($C$2:$C$6, MATCH($A9-B$8, $A$2:$A$6, 0)), 0)</f>
        <v>70</v>
      </c>
      <c r="C9">
        <f t="shared" ref="C9:F13" si="0">IF($A9&gt;=C$8, INDEX($B$2:$B$6, MATCH(C$8, $A$2:$A$6, 0)) + INDEX($C$2:$C$6, MATCH($A9-C$8, $A$2:$A$6, 0)), 0)</f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>MAX(B9:F9)</f>
        <v>70</v>
      </c>
    </row>
    <row r="10" spans="1:7" x14ac:dyDescent="0.35">
      <c r="A10">
        <v>1</v>
      </c>
      <c r="B10">
        <f t="shared" ref="B10:B13" si="1">IF($A10&gt;=B$8, INDEX($B$2:$B$6, MATCH(B$8, $A$2:$A$6, 0)) + INDEX($C$2:$C$6, MATCH($A10-B$8, $A$2:$A$6, 0)), 0)</f>
        <v>150</v>
      </c>
      <c r="C10">
        <f>IF($A10&gt;=C$8, INDEX($B$2:$B$6, MATCH(C$8, $A$2:$A$6, 0)) + INDEX($C$2:$C$6, MATCH($A10-C$8, $A$2:$A$6, 0)), 0)</f>
        <v>120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ref="G10:G13" si="2">MAX(B10:F10)</f>
        <v>150</v>
      </c>
    </row>
    <row r="11" spans="1:7" x14ac:dyDescent="0.35">
      <c r="A11">
        <v>2</v>
      </c>
      <c r="B11">
        <f t="shared" si="1"/>
        <v>425</v>
      </c>
      <c r="C11">
        <f t="shared" si="0"/>
        <v>200</v>
      </c>
      <c r="D11">
        <f t="shared" si="0"/>
        <v>425</v>
      </c>
      <c r="E11">
        <f t="shared" si="0"/>
        <v>0</v>
      </c>
      <c r="F11">
        <f t="shared" si="0"/>
        <v>0</v>
      </c>
      <c r="G11">
        <f t="shared" si="2"/>
        <v>425</v>
      </c>
    </row>
    <row r="12" spans="1:7" x14ac:dyDescent="0.35">
      <c r="A12">
        <v>3</v>
      </c>
      <c r="B12">
        <f t="shared" si="1"/>
        <v>510</v>
      </c>
      <c r="C12">
        <f t="shared" si="0"/>
        <v>475</v>
      </c>
      <c r="D12">
        <f t="shared" si="0"/>
        <v>505</v>
      </c>
      <c r="E12">
        <f t="shared" si="0"/>
        <v>470</v>
      </c>
      <c r="F12">
        <f t="shared" si="0"/>
        <v>0</v>
      </c>
      <c r="G12">
        <f t="shared" si="2"/>
        <v>510</v>
      </c>
    </row>
    <row r="13" spans="1:7" x14ac:dyDescent="0.35">
      <c r="A13">
        <v>4</v>
      </c>
      <c r="B13">
        <f t="shared" si="1"/>
        <v>780</v>
      </c>
      <c r="C13">
        <f t="shared" si="0"/>
        <v>560</v>
      </c>
      <c r="D13">
        <f t="shared" si="0"/>
        <v>780</v>
      </c>
      <c r="E13">
        <f t="shared" si="0"/>
        <v>550</v>
      </c>
      <c r="F13">
        <f t="shared" si="0"/>
        <v>650</v>
      </c>
      <c r="G13">
        <f t="shared" si="2"/>
        <v>780</v>
      </c>
    </row>
    <row r="15" spans="1:7" x14ac:dyDescent="0.35">
      <c r="A15" t="s">
        <v>32</v>
      </c>
      <c r="B15">
        <v>0</v>
      </c>
      <c r="C15">
        <v>1</v>
      </c>
      <c r="D15">
        <v>2</v>
      </c>
      <c r="E15">
        <v>3</v>
      </c>
      <c r="F15">
        <v>4</v>
      </c>
    </row>
    <row r="16" spans="1:7" x14ac:dyDescent="0.35">
      <c r="A16">
        <v>0</v>
      </c>
      <c r="B16">
        <f>IF($A16&gt;=B$15, INDEX($G$9:$G$13, MATCH($A16-B$15, $A$9:$A$13, 0)) + INDEX($D$2:$D$6, MATCH(B$15, $A$2:$A$6, 0)), 0)</f>
        <v>105</v>
      </c>
      <c r="C16">
        <f t="shared" ref="C16:F20" si="3">IF($A16&gt;=C$15, INDEX($G$9:$G$13, MATCH($A16-C$15, $A$9:$A$13, 0)) + INDEX($D$2:$D$6, MATCH(C$15, $A$2:$A$6, 0)), 0)</f>
        <v>0</v>
      </c>
      <c r="D16">
        <f t="shared" si="3"/>
        <v>0</v>
      </c>
      <c r="E16">
        <f t="shared" si="3"/>
        <v>0</v>
      </c>
      <c r="F16">
        <f t="shared" si="3"/>
        <v>0</v>
      </c>
      <c r="G16">
        <f>MAX(B16:F16)</f>
        <v>105</v>
      </c>
    </row>
    <row r="17" spans="1:7" x14ac:dyDescent="0.35">
      <c r="A17">
        <v>1</v>
      </c>
      <c r="B17">
        <f t="shared" ref="B17:B20" si="4">IF($A17&gt;=B$15, INDEX($G$9:$G$13, MATCH($A17-B$15, $A$9:$A$13, 0)) + INDEX($D$2:$D$6, MATCH(B$15, $A$2:$A$6, 0)), 0)</f>
        <v>185</v>
      </c>
      <c r="C17">
        <f t="shared" si="3"/>
        <v>165</v>
      </c>
      <c r="D17">
        <f t="shared" si="3"/>
        <v>0</v>
      </c>
      <c r="E17">
        <f t="shared" si="3"/>
        <v>0</v>
      </c>
      <c r="F17">
        <f t="shared" si="3"/>
        <v>0</v>
      </c>
      <c r="G17">
        <f t="shared" ref="G17:G20" si="5">MAX(B17:F17)</f>
        <v>185</v>
      </c>
    </row>
    <row r="18" spans="1:7" x14ac:dyDescent="0.35">
      <c r="A18">
        <v>2</v>
      </c>
      <c r="B18">
        <f t="shared" si="4"/>
        <v>460</v>
      </c>
      <c r="C18">
        <f t="shared" si="3"/>
        <v>245</v>
      </c>
      <c r="D18">
        <f t="shared" si="3"/>
        <v>340</v>
      </c>
      <c r="E18">
        <f t="shared" si="3"/>
        <v>0</v>
      </c>
      <c r="F18">
        <f t="shared" si="3"/>
        <v>0</v>
      </c>
      <c r="G18">
        <f t="shared" si="5"/>
        <v>460</v>
      </c>
    </row>
    <row r="19" spans="1:7" x14ac:dyDescent="0.35">
      <c r="A19">
        <v>3</v>
      </c>
      <c r="B19">
        <f t="shared" si="4"/>
        <v>545</v>
      </c>
      <c r="C19">
        <f t="shared" si="3"/>
        <v>520</v>
      </c>
      <c r="D19">
        <f t="shared" si="3"/>
        <v>420</v>
      </c>
      <c r="E19">
        <f t="shared" si="3"/>
        <v>700</v>
      </c>
      <c r="F19">
        <f t="shared" si="3"/>
        <v>0</v>
      </c>
      <c r="G19">
        <f t="shared" si="5"/>
        <v>700</v>
      </c>
    </row>
    <row r="20" spans="1:7" x14ac:dyDescent="0.35">
      <c r="A20">
        <v>4</v>
      </c>
      <c r="B20">
        <f t="shared" si="4"/>
        <v>815</v>
      </c>
      <c r="C20">
        <f t="shared" si="3"/>
        <v>605</v>
      </c>
      <c r="D20">
        <f t="shared" si="3"/>
        <v>695</v>
      </c>
      <c r="E20">
        <f t="shared" si="3"/>
        <v>780</v>
      </c>
      <c r="F20">
        <f t="shared" si="3"/>
        <v>770</v>
      </c>
      <c r="G20">
        <f t="shared" si="5"/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19</vt:lpstr>
      <vt:lpstr>20</vt:lpstr>
      <vt:lpstr>23</vt:lpstr>
      <vt:lpstr>21</vt:lpstr>
      <vt:lpstr>22</vt:lpstr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</dc:creator>
  <cp:lastModifiedBy>danya.volya@gmail.com</cp:lastModifiedBy>
  <dcterms:created xsi:type="dcterms:W3CDTF">2026-06-30T16:03:48Z</dcterms:created>
  <dcterms:modified xsi:type="dcterms:W3CDTF">2026-06-30T19:56:43Z</dcterms:modified>
</cp:coreProperties>
</file>