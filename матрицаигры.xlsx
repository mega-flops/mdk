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anya\OneDrive\Рабочий стол\Учёба\Математические методы\"/>
    </mc:Choice>
  </mc:AlternateContent>
  <xr:revisionPtr revIDLastSave="0" documentId="13_ncr:1_{97798EAC-4D64-4D9D-8A8D-3216A75FB6B8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Вариант 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" l="1"/>
  <c r="C27" i="1"/>
  <c r="B28" i="1"/>
  <c r="C28" i="1"/>
  <c r="B29" i="1"/>
  <c r="C29" i="1"/>
  <c r="A9" i="1"/>
  <c r="A8" i="1"/>
  <c r="C7" i="1"/>
  <c r="E7" i="1" s="1"/>
  <c r="B7" i="1"/>
  <c r="H7" i="1" s="1"/>
  <c r="D5" i="1"/>
  <c r="C5" i="1"/>
  <c r="B5" i="1"/>
  <c r="E4" i="1"/>
  <c r="H3" i="1"/>
  <c r="E3" i="1"/>
  <c r="E2" i="1"/>
  <c r="H2" i="1" s="1"/>
  <c r="I2" i="1" s="1"/>
  <c r="G7" i="1" l="1"/>
  <c r="L7" i="1" s="1"/>
  <c r="I7" i="1"/>
  <c r="F7" i="1"/>
  <c r="A10" i="1"/>
  <c r="D7" i="1"/>
  <c r="C8" i="1" l="1"/>
  <c r="E8" i="1" s="1"/>
  <c r="K7" i="1"/>
  <c r="B8" i="1"/>
  <c r="A11" i="1"/>
  <c r="F8" i="1" l="1"/>
  <c r="D8" i="1"/>
  <c r="B9" i="1"/>
  <c r="K8" i="1"/>
  <c r="A12" i="1"/>
  <c r="I8" i="1"/>
  <c r="G8" i="1"/>
  <c r="H8" i="1"/>
  <c r="H9" i="1" l="1"/>
  <c r="I9" i="1"/>
  <c r="C9" i="1"/>
  <c r="G9" i="1"/>
  <c r="L8" i="1"/>
  <c r="A13" i="1"/>
  <c r="A14" i="1" l="1"/>
  <c r="C10" i="1"/>
  <c r="L9" i="1"/>
  <c r="F9" i="1"/>
  <c r="F10" i="1" s="1"/>
  <c r="D9" i="1"/>
  <c r="E9" i="1"/>
  <c r="E10" i="1" s="1"/>
  <c r="D10" i="1" l="1"/>
  <c r="B10" i="1"/>
  <c r="K9" i="1"/>
  <c r="A15" i="1"/>
  <c r="B11" i="1" l="1"/>
  <c r="K10" i="1"/>
  <c r="H10" i="1"/>
  <c r="I10" i="1"/>
  <c r="G10" i="1"/>
  <c r="A16" i="1"/>
  <c r="H11" i="1" l="1"/>
  <c r="I11" i="1"/>
  <c r="A17" i="1"/>
  <c r="G11" i="1"/>
  <c r="C11" i="1"/>
  <c r="L10" i="1"/>
  <c r="E11" i="1" l="1"/>
  <c r="F11" i="1"/>
  <c r="D11" i="1"/>
  <c r="A18" i="1"/>
  <c r="C12" i="1"/>
  <c r="L11" i="1"/>
  <c r="A19" i="1" l="1"/>
  <c r="F12" i="1"/>
  <c r="E12" i="1"/>
  <c r="D12" i="1"/>
  <c r="B12" i="1"/>
  <c r="K11" i="1"/>
  <c r="I12" i="1" l="1"/>
  <c r="H12" i="1"/>
  <c r="G12" i="1"/>
  <c r="B13" i="1"/>
  <c r="K12" i="1"/>
  <c r="A20" i="1"/>
  <c r="C13" i="1" l="1"/>
  <c r="G13" i="1"/>
  <c r="L12" i="1"/>
  <c r="I13" i="1"/>
  <c r="A21" i="1"/>
  <c r="H13" i="1"/>
  <c r="A22" i="1" l="1"/>
  <c r="C14" i="1"/>
  <c r="L13" i="1"/>
  <c r="E13" i="1"/>
  <c r="E14" i="1" s="1"/>
  <c r="D13" i="1"/>
  <c r="F13" i="1"/>
  <c r="F14" i="1" s="1"/>
  <c r="D14" i="1" l="1"/>
  <c r="B14" i="1"/>
  <c r="K13" i="1"/>
  <c r="A23" i="1"/>
  <c r="A24" i="1" l="1"/>
  <c r="B15" i="1"/>
  <c r="K14" i="1"/>
  <c r="H14" i="1"/>
  <c r="I14" i="1"/>
  <c r="I15" i="1" s="1"/>
  <c r="G14" i="1"/>
  <c r="H15" i="1" l="1"/>
  <c r="C15" i="1"/>
  <c r="G15" i="1"/>
  <c r="L14" i="1"/>
  <c r="A25" i="1"/>
  <c r="C16" i="1" l="1"/>
  <c r="L15" i="1"/>
  <c r="A26" i="1"/>
  <c r="F15" i="1"/>
  <c r="F16" i="1" s="1"/>
  <c r="E15" i="1"/>
  <c r="D15" i="1"/>
  <c r="E16" i="1" l="1"/>
  <c r="B16" i="1"/>
  <c r="D16" i="1"/>
  <c r="K15" i="1"/>
  <c r="B17" i="1" l="1"/>
  <c r="K16" i="1"/>
  <c r="I16" i="1"/>
  <c r="I17" i="1" s="1"/>
  <c r="H16" i="1"/>
  <c r="H17" i="1" s="1"/>
  <c r="G16" i="1"/>
  <c r="G17" i="1" l="1"/>
  <c r="C17" i="1"/>
  <c r="L16" i="1"/>
  <c r="E17" i="1" l="1"/>
  <c r="F17" i="1"/>
  <c r="D17" i="1"/>
  <c r="C18" i="1"/>
  <c r="L17" i="1"/>
  <c r="F18" i="1" l="1"/>
  <c r="D18" i="1"/>
  <c r="B18" i="1"/>
  <c r="K17" i="1"/>
  <c r="E18" i="1"/>
  <c r="H18" i="1" l="1"/>
  <c r="I18" i="1"/>
  <c r="G18" i="1"/>
  <c r="B19" i="1"/>
  <c r="K18" i="1"/>
  <c r="I19" i="1" l="1"/>
  <c r="G19" i="1"/>
  <c r="C19" i="1"/>
  <c r="L18" i="1"/>
  <c r="H19" i="1"/>
  <c r="F19" i="1" l="1"/>
  <c r="E19" i="1"/>
  <c r="D19" i="1"/>
  <c r="C20" i="1"/>
  <c r="L19" i="1"/>
  <c r="E20" i="1" l="1"/>
  <c r="D20" i="1"/>
  <c r="B20" i="1"/>
  <c r="K19" i="1"/>
  <c r="F20" i="1"/>
  <c r="H20" i="1" l="1"/>
  <c r="I20" i="1"/>
  <c r="G20" i="1"/>
  <c r="B21" i="1"/>
  <c r="K20" i="1"/>
  <c r="G21" i="1" l="1"/>
  <c r="C21" i="1"/>
  <c r="L20" i="1"/>
  <c r="I21" i="1"/>
  <c r="H21" i="1"/>
  <c r="E21" i="1" l="1"/>
  <c r="F21" i="1"/>
  <c r="D21" i="1"/>
  <c r="C22" i="1"/>
  <c r="L21" i="1"/>
  <c r="D22" i="1" l="1"/>
  <c r="B22" i="1"/>
  <c r="K21" i="1"/>
  <c r="F22" i="1"/>
  <c r="E22" i="1"/>
  <c r="H22" i="1" l="1"/>
  <c r="I22" i="1"/>
  <c r="G22" i="1"/>
  <c r="B23" i="1"/>
  <c r="K22" i="1"/>
  <c r="C23" i="1" l="1"/>
  <c r="G23" i="1"/>
  <c r="L22" i="1"/>
  <c r="I23" i="1"/>
  <c r="H23" i="1"/>
  <c r="C24" i="1" l="1"/>
  <c r="L23" i="1"/>
  <c r="F23" i="1"/>
  <c r="D23" i="1"/>
  <c r="E23" i="1"/>
  <c r="E24" i="1" l="1"/>
  <c r="F24" i="1"/>
  <c r="B24" i="1"/>
  <c r="D24" i="1"/>
  <c r="K23" i="1"/>
  <c r="B25" i="1" l="1"/>
  <c r="K24" i="1"/>
  <c r="I24" i="1"/>
  <c r="I25" i="1" s="1"/>
  <c r="G24" i="1"/>
  <c r="H24" i="1"/>
  <c r="H25" i="1" s="1"/>
  <c r="G25" i="1" l="1"/>
  <c r="C25" i="1"/>
  <c r="L24" i="1"/>
  <c r="F25" i="1" l="1"/>
  <c r="E25" i="1"/>
  <c r="D25" i="1"/>
  <c r="C26" i="1"/>
  <c r="L25" i="1"/>
  <c r="E26" i="1" l="1"/>
  <c r="D26" i="1"/>
  <c r="B26" i="1"/>
  <c r="K25" i="1"/>
  <c r="F26" i="1"/>
  <c r="I26" i="1" l="1"/>
  <c r="H26" i="1"/>
  <c r="G26" i="1"/>
  <c r="K26" i="1"/>
  <c r="K27" i="1" s="1"/>
  <c r="L26" i="1" l="1"/>
  <c r="L27" i="1" s="1"/>
</calcChain>
</file>

<file path=xl/sharedStrings.xml><?xml version="1.0" encoding="utf-8"?>
<sst xmlns="http://schemas.openxmlformats.org/spreadsheetml/2006/main" count="22" uniqueCount="13">
  <si>
    <t>A1</t>
  </si>
  <si>
    <t>A2</t>
  </si>
  <si>
    <t>A3</t>
  </si>
  <si>
    <t>Vi/i(1)</t>
  </si>
  <si>
    <t>Vi/i(2)</t>
  </si>
  <si>
    <t>альфа</t>
  </si>
  <si>
    <t>бета</t>
  </si>
  <si>
    <t>A</t>
  </si>
  <si>
    <t>B</t>
  </si>
  <si>
    <t>C</t>
  </si>
  <si>
    <t>α</t>
  </si>
  <si>
    <t>β</t>
  </si>
  <si>
    <t>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</si>
</sst>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zoomScale="101" zoomScaleNormal="40" workbookViewId="0">
      <selection activeCell="N24" sqref="N24"/>
    </sheetView>
  </sheetViews>
  <sheetFormatPr defaultRowHeight="14.5" x14ac:dyDescent="0.35"/>
  <sheetData>
    <row r="1" spans="1:12" x14ac:dyDescent="0.35">
      <c r="B1" t="s">
        <v>7</v>
      </c>
      <c r="C1" t="s">
        <v>8</v>
      </c>
      <c r="D1" t="s">
        <v>9</v>
      </c>
    </row>
    <row r="2" spans="1:12" x14ac:dyDescent="0.35">
      <c r="A2" t="s">
        <v>0</v>
      </c>
      <c r="B2" s="2">
        <v>8</v>
      </c>
      <c r="C2" s="2">
        <v>4</v>
      </c>
      <c r="D2" s="2">
        <v>2</v>
      </c>
      <c r="E2">
        <f>MIN(B2:D2)</f>
        <v>2</v>
      </c>
      <c r="G2" t="s">
        <v>5</v>
      </c>
      <c r="H2">
        <f>MAX(E2:E4)</f>
        <v>2</v>
      </c>
      <c r="I2" s="1" t="str">
        <f>IF(H2=H3,"есть седловая точка","нет седловой точки")</f>
        <v>нет седловой точки</v>
      </c>
      <c r="J2" s="1"/>
    </row>
    <row r="3" spans="1:12" x14ac:dyDescent="0.35">
      <c r="A3" t="s">
        <v>1</v>
      </c>
      <c r="B3" s="2">
        <v>2</v>
      </c>
      <c r="C3" s="2">
        <v>8</v>
      </c>
      <c r="D3" s="2">
        <v>4</v>
      </c>
      <c r="E3">
        <f t="shared" ref="E3:E4" si="0">MIN(B3:D3)</f>
        <v>2</v>
      </c>
      <c r="G3" t="s">
        <v>6</v>
      </c>
      <c r="H3">
        <f>MIN(B5:D5)</f>
        <v>8</v>
      </c>
    </row>
    <row r="4" spans="1:12" x14ac:dyDescent="0.35">
      <c r="A4" t="s">
        <v>2</v>
      </c>
      <c r="B4" s="2">
        <v>1</v>
      </c>
      <c r="C4" s="2">
        <v>2</v>
      </c>
      <c r="D4" s="2">
        <v>8</v>
      </c>
      <c r="E4">
        <f t="shared" si="0"/>
        <v>1</v>
      </c>
    </row>
    <row r="5" spans="1:12" x14ac:dyDescent="0.35">
      <c r="B5">
        <f>MAX(B2:B4)</f>
        <v>8</v>
      </c>
      <c r="C5">
        <f>MAX(C2:C4)</f>
        <v>8</v>
      </c>
      <c r="D5">
        <f t="shared" ref="D5" si="1">MAX(D2:D4)</f>
        <v>8</v>
      </c>
    </row>
    <row r="6" spans="1:12" x14ac:dyDescent="0.35">
      <c r="A6" s="3"/>
      <c r="B6" s="3"/>
      <c r="C6" s="3"/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/>
      <c r="K6" s="3" t="s">
        <v>3</v>
      </c>
      <c r="L6" s="3" t="s">
        <v>4</v>
      </c>
    </row>
    <row r="7" spans="1:12" x14ac:dyDescent="0.35">
      <c r="A7" s="3">
        <v>1</v>
      </c>
      <c r="B7" s="3" t="str">
        <f>$A$2</f>
        <v>A1</v>
      </c>
      <c r="C7" s="3" t="str">
        <f>$B$1</f>
        <v>A</v>
      </c>
      <c r="D7" s="3">
        <f>IF($C7=$B$1, $B$2, IF($C7=$C$1, $C$2, $D$2))</f>
        <v>8</v>
      </c>
      <c r="E7" s="3">
        <f>IF($C7=$B$1, $B$3, IF($C7=$C$1, $C$3, $D$3))</f>
        <v>2</v>
      </c>
      <c r="F7" s="3">
        <f>IF($C7=$B$1, $B$4, IF($C7=$C$1, $C$4, $D$4))</f>
        <v>1</v>
      </c>
      <c r="G7" s="3">
        <f>IF($B7=$A$2, $B$2, IF($B7=$A$3, $B$3, $B$4))</f>
        <v>8</v>
      </c>
      <c r="H7" s="3">
        <f>IF($B7=$A$2, $C$2, IF($B7=$A$3, $C$3, $C$4))</f>
        <v>4</v>
      </c>
      <c r="I7" s="3">
        <f>IF($B7=$A$2, $D$2, IF($B7=$A$3, $D$3, $D$4))</f>
        <v>2</v>
      </c>
      <c r="J7" s="3"/>
      <c r="K7" s="3">
        <f>MAX(D7:F7)/$A7</f>
        <v>8</v>
      </c>
      <c r="L7" s="3">
        <f>MIN(G7:I7)/$A7</f>
        <v>2</v>
      </c>
    </row>
    <row r="8" spans="1:12" x14ac:dyDescent="0.35">
      <c r="A8" s="3">
        <f>A7+1</f>
        <v>2</v>
      </c>
      <c r="B8" s="3" t="str">
        <f>IF(MAX(D7:F7)=D7, $A$2, IF(MAX(D7:F7)=E7, $A$3, $A$4))</f>
        <v>A1</v>
      </c>
      <c r="C8" s="3" t="str">
        <f>IF(MIN(G7:I7)=G7, $B$1, IF(MIN(G7:I7)=H7, $C$1, $D$1))</f>
        <v>C</v>
      </c>
      <c r="D8" s="3">
        <f>D7+IF($C8=$B$1, $B$2, IF($C8=$C$1, $C$2, $D$2))</f>
        <v>10</v>
      </c>
      <c r="E8" s="3">
        <f>E7+IF($C8=$B$1, $B$3, IF($C8=$C$1, $C$3, $D$3))</f>
        <v>6</v>
      </c>
      <c r="F8" s="3">
        <f>F7+IF($C8=$B$1, $B$4, IF($C8=$C$1, $C$4, $D$4))</f>
        <v>9</v>
      </c>
      <c r="G8" s="3">
        <f>G7+IF($B8=$A$2, $B$2, IF($B8=$A$3, $B$3, $B$4))</f>
        <v>16</v>
      </c>
      <c r="H8" s="3">
        <f>H7+IF($B8=$A$2, $C$2, IF($B8=$A$3, $C$3, $C$4))</f>
        <v>8</v>
      </c>
      <c r="I8" s="3">
        <f>I7+IF($B8=$A$2, $D$2, IF($B8=$A$3, $D$3, $D$4))</f>
        <v>4</v>
      </c>
      <c r="J8" s="3"/>
      <c r="K8" s="3">
        <f>MAX(D8:F8)/$A8</f>
        <v>5</v>
      </c>
      <c r="L8" s="3">
        <f>MIN(G8:I8)/$A8</f>
        <v>2</v>
      </c>
    </row>
    <row r="9" spans="1:12" x14ac:dyDescent="0.35">
      <c r="A9" s="3">
        <f t="shared" ref="A9:A26" si="2">A8+1</f>
        <v>3</v>
      </c>
      <c r="B9" s="3" t="str">
        <f t="shared" ref="B9:B26" si="3">IF(MAX(D8:F8)=D8, $A$2, IF(MAX(D8:F8)=E8, $A$3, $A$4))</f>
        <v>A1</v>
      </c>
      <c r="C9" s="3" t="str">
        <f t="shared" ref="C9:C26" si="4">IF(MIN(G8:I8)=G8, $B$1, IF(MIN(G8:I8)=H8, $C$1, $D$1))</f>
        <v>C</v>
      </c>
      <c r="D9" s="3">
        <f t="shared" ref="D9:D26" si="5">D8+IF($C9=$B$1, $B$2, IF($C9=$C$1, $C$2, $D$2))</f>
        <v>12</v>
      </c>
      <c r="E9" s="3">
        <f t="shared" ref="E9:E26" si="6">E8+IF($C9=$B$1, $B$3, IF($C9=$C$1, $C$3, $D$3))</f>
        <v>10</v>
      </c>
      <c r="F9" s="3">
        <f t="shared" ref="F9:F26" si="7">F8+IF($C9=$B$1, $B$4, IF($C9=$C$1, $C$4, $D$4))</f>
        <v>17</v>
      </c>
      <c r="G9" s="3">
        <f t="shared" ref="G9:G26" si="8">G8+IF($B9=$A$2, $B$2, IF($B9=$A$3, $B$3, $B$4))</f>
        <v>24</v>
      </c>
      <c r="H9" s="3">
        <f t="shared" ref="H9:H26" si="9">H8+IF($B9=$A$2, $C$2, IF($B9=$A$3, $C$3, $C$4))</f>
        <v>12</v>
      </c>
      <c r="I9" s="3">
        <f t="shared" ref="I9:I26" si="10">I8+IF($B9=$A$2, $D$2, IF($B9=$A$3, $D$3, $D$4))</f>
        <v>6</v>
      </c>
      <c r="J9" s="3"/>
      <c r="K9" s="3">
        <f t="shared" ref="K9:K26" si="11">MAX(D9:F9)/$A9</f>
        <v>5.666666666666667</v>
      </c>
      <c r="L9" s="3">
        <f t="shared" ref="L9:L26" si="12">MIN(G9:I9)/$A9</f>
        <v>2</v>
      </c>
    </row>
    <row r="10" spans="1:12" x14ac:dyDescent="0.35">
      <c r="A10" s="3">
        <f t="shared" si="2"/>
        <v>4</v>
      </c>
      <c r="B10" s="3" t="str">
        <f t="shared" si="3"/>
        <v>A3</v>
      </c>
      <c r="C10" s="3" t="str">
        <f t="shared" si="4"/>
        <v>C</v>
      </c>
      <c r="D10" s="3">
        <f t="shared" si="5"/>
        <v>14</v>
      </c>
      <c r="E10" s="3">
        <f t="shared" si="6"/>
        <v>14</v>
      </c>
      <c r="F10" s="3">
        <f t="shared" si="7"/>
        <v>25</v>
      </c>
      <c r="G10" s="3">
        <f t="shared" si="8"/>
        <v>25</v>
      </c>
      <c r="H10" s="3">
        <f t="shared" si="9"/>
        <v>14</v>
      </c>
      <c r="I10" s="3">
        <f t="shared" si="10"/>
        <v>14</v>
      </c>
      <c r="J10" s="3"/>
      <c r="K10" s="3">
        <f t="shared" si="11"/>
        <v>6.25</v>
      </c>
      <c r="L10" s="3">
        <f t="shared" si="12"/>
        <v>3.5</v>
      </c>
    </row>
    <row r="11" spans="1:12" x14ac:dyDescent="0.35">
      <c r="A11" s="3">
        <f t="shared" si="2"/>
        <v>5</v>
      </c>
      <c r="B11" s="3" t="str">
        <f t="shared" si="3"/>
        <v>A3</v>
      </c>
      <c r="C11" s="3" t="str">
        <f t="shared" si="4"/>
        <v>B</v>
      </c>
      <c r="D11" s="3">
        <f t="shared" si="5"/>
        <v>18</v>
      </c>
      <c r="E11" s="3">
        <f t="shared" si="6"/>
        <v>22</v>
      </c>
      <c r="F11" s="3">
        <f t="shared" si="7"/>
        <v>27</v>
      </c>
      <c r="G11" s="3">
        <f t="shared" si="8"/>
        <v>26</v>
      </c>
      <c r="H11" s="3">
        <f t="shared" si="9"/>
        <v>16</v>
      </c>
      <c r="I11" s="3">
        <f t="shared" si="10"/>
        <v>22</v>
      </c>
      <c r="J11" s="3"/>
      <c r="K11" s="3">
        <f t="shared" si="11"/>
        <v>5.4</v>
      </c>
      <c r="L11" s="3">
        <f t="shared" si="12"/>
        <v>3.2</v>
      </c>
    </row>
    <row r="12" spans="1:12" x14ac:dyDescent="0.35">
      <c r="A12" s="3">
        <f t="shared" si="2"/>
        <v>6</v>
      </c>
      <c r="B12" s="3" t="str">
        <f t="shared" si="3"/>
        <v>A3</v>
      </c>
      <c r="C12" s="3" t="str">
        <f t="shared" si="4"/>
        <v>B</v>
      </c>
      <c r="D12" s="3">
        <f t="shared" si="5"/>
        <v>22</v>
      </c>
      <c r="E12" s="3">
        <f t="shared" si="6"/>
        <v>30</v>
      </c>
      <c r="F12" s="3">
        <f t="shared" si="7"/>
        <v>29</v>
      </c>
      <c r="G12" s="3">
        <f t="shared" si="8"/>
        <v>27</v>
      </c>
      <c r="H12" s="3">
        <f t="shared" si="9"/>
        <v>18</v>
      </c>
      <c r="I12" s="3">
        <f t="shared" si="10"/>
        <v>30</v>
      </c>
      <c r="J12" s="3"/>
      <c r="K12" s="3">
        <f t="shared" si="11"/>
        <v>5</v>
      </c>
      <c r="L12" s="3">
        <f t="shared" si="12"/>
        <v>3</v>
      </c>
    </row>
    <row r="13" spans="1:12" x14ac:dyDescent="0.35">
      <c r="A13" s="3">
        <f t="shared" si="2"/>
        <v>7</v>
      </c>
      <c r="B13" s="3" t="str">
        <f t="shared" si="3"/>
        <v>A2</v>
      </c>
      <c r="C13" s="3" t="str">
        <f t="shared" si="4"/>
        <v>B</v>
      </c>
      <c r="D13" s="3">
        <f t="shared" si="5"/>
        <v>26</v>
      </c>
      <c r="E13" s="3">
        <f t="shared" si="6"/>
        <v>38</v>
      </c>
      <c r="F13" s="3">
        <f t="shared" si="7"/>
        <v>31</v>
      </c>
      <c r="G13" s="3">
        <f t="shared" si="8"/>
        <v>29</v>
      </c>
      <c r="H13" s="3">
        <f t="shared" si="9"/>
        <v>26</v>
      </c>
      <c r="I13" s="3">
        <f t="shared" si="10"/>
        <v>34</v>
      </c>
      <c r="J13" s="3"/>
      <c r="K13" s="3">
        <f t="shared" si="11"/>
        <v>5.4285714285714288</v>
      </c>
      <c r="L13" s="3">
        <f t="shared" si="12"/>
        <v>3.7142857142857144</v>
      </c>
    </row>
    <row r="14" spans="1:12" x14ac:dyDescent="0.35">
      <c r="A14" s="3">
        <f t="shared" si="2"/>
        <v>8</v>
      </c>
      <c r="B14" s="3" t="str">
        <f t="shared" si="3"/>
        <v>A2</v>
      </c>
      <c r="C14" s="3" t="str">
        <f t="shared" si="4"/>
        <v>B</v>
      </c>
      <c r="D14" s="3">
        <f t="shared" si="5"/>
        <v>30</v>
      </c>
      <c r="E14" s="3">
        <f t="shared" si="6"/>
        <v>46</v>
      </c>
      <c r="F14" s="3">
        <f t="shared" si="7"/>
        <v>33</v>
      </c>
      <c r="G14" s="3">
        <f t="shared" si="8"/>
        <v>31</v>
      </c>
      <c r="H14" s="3">
        <f t="shared" si="9"/>
        <v>34</v>
      </c>
      <c r="I14" s="3">
        <f t="shared" si="10"/>
        <v>38</v>
      </c>
      <c r="J14" s="3"/>
      <c r="K14" s="3">
        <f t="shared" si="11"/>
        <v>5.75</v>
      </c>
      <c r="L14" s="3">
        <f t="shared" si="12"/>
        <v>3.875</v>
      </c>
    </row>
    <row r="15" spans="1:12" x14ac:dyDescent="0.35">
      <c r="A15" s="3">
        <f t="shared" si="2"/>
        <v>9</v>
      </c>
      <c r="B15" s="3" t="str">
        <f t="shared" si="3"/>
        <v>A2</v>
      </c>
      <c r="C15" s="3" t="str">
        <f t="shared" si="4"/>
        <v>A</v>
      </c>
      <c r="D15" s="3">
        <f t="shared" si="5"/>
        <v>38</v>
      </c>
      <c r="E15" s="3">
        <f t="shared" si="6"/>
        <v>48</v>
      </c>
      <c r="F15" s="3">
        <f t="shared" si="7"/>
        <v>34</v>
      </c>
      <c r="G15" s="3">
        <f t="shared" si="8"/>
        <v>33</v>
      </c>
      <c r="H15" s="3">
        <f t="shared" si="9"/>
        <v>42</v>
      </c>
      <c r="I15" s="3">
        <f t="shared" si="10"/>
        <v>42</v>
      </c>
      <c r="J15" s="3"/>
      <c r="K15" s="3">
        <f t="shared" si="11"/>
        <v>5.333333333333333</v>
      </c>
      <c r="L15" s="3">
        <f t="shared" si="12"/>
        <v>3.6666666666666665</v>
      </c>
    </row>
    <row r="16" spans="1:12" x14ac:dyDescent="0.35">
      <c r="A16" s="3">
        <f t="shared" si="2"/>
        <v>10</v>
      </c>
      <c r="B16" s="3" t="str">
        <f t="shared" si="3"/>
        <v>A2</v>
      </c>
      <c r="C16" s="3" t="str">
        <f t="shared" si="4"/>
        <v>A</v>
      </c>
      <c r="D16" s="3">
        <f t="shared" si="5"/>
        <v>46</v>
      </c>
      <c r="E16" s="3">
        <f t="shared" si="6"/>
        <v>50</v>
      </c>
      <c r="F16" s="3">
        <f t="shared" si="7"/>
        <v>35</v>
      </c>
      <c r="G16" s="3">
        <f t="shared" si="8"/>
        <v>35</v>
      </c>
      <c r="H16" s="3">
        <f t="shared" si="9"/>
        <v>50</v>
      </c>
      <c r="I16" s="3">
        <f t="shared" si="10"/>
        <v>46</v>
      </c>
      <c r="J16" s="3"/>
      <c r="K16" s="3">
        <f t="shared" si="11"/>
        <v>5</v>
      </c>
      <c r="L16" s="3">
        <f t="shared" si="12"/>
        <v>3.5</v>
      </c>
    </row>
    <row r="17" spans="1:12" x14ac:dyDescent="0.35">
      <c r="A17" s="3">
        <f t="shared" si="2"/>
        <v>11</v>
      </c>
      <c r="B17" s="3" t="str">
        <f t="shared" si="3"/>
        <v>A2</v>
      </c>
      <c r="C17" s="3" t="str">
        <f t="shared" si="4"/>
        <v>A</v>
      </c>
      <c r="D17" s="3">
        <f t="shared" si="5"/>
        <v>54</v>
      </c>
      <c r="E17" s="3">
        <f t="shared" si="6"/>
        <v>52</v>
      </c>
      <c r="F17" s="3">
        <f t="shared" si="7"/>
        <v>36</v>
      </c>
      <c r="G17" s="3">
        <f t="shared" si="8"/>
        <v>37</v>
      </c>
      <c r="H17" s="3">
        <f t="shared" si="9"/>
        <v>58</v>
      </c>
      <c r="I17" s="3">
        <f t="shared" si="10"/>
        <v>50</v>
      </c>
      <c r="J17" s="3"/>
      <c r="K17" s="3">
        <f t="shared" si="11"/>
        <v>4.9090909090909092</v>
      </c>
      <c r="L17" s="3">
        <f t="shared" si="12"/>
        <v>3.3636363636363638</v>
      </c>
    </row>
    <row r="18" spans="1:12" x14ac:dyDescent="0.35">
      <c r="A18" s="3">
        <f t="shared" si="2"/>
        <v>12</v>
      </c>
      <c r="B18" s="3" t="str">
        <f t="shared" si="3"/>
        <v>A1</v>
      </c>
      <c r="C18" s="3" t="str">
        <f t="shared" si="4"/>
        <v>A</v>
      </c>
      <c r="D18" s="3">
        <f t="shared" si="5"/>
        <v>62</v>
      </c>
      <c r="E18" s="3">
        <f t="shared" si="6"/>
        <v>54</v>
      </c>
      <c r="F18" s="3">
        <f t="shared" si="7"/>
        <v>37</v>
      </c>
      <c r="G18" s="3">
        <f t="shared" si="8"/>
        <v>45</v>
      </c>
      <c r="H18" s="3">
        <f t="shared" si="9"/>
        <v>62</v>
      </c>
      <c r="I18" s="3">
        <f t="shared" si="10"/>
        <v>52</v>
      </c>
      <c r="J18" s="3"/>
      <c r="K18" s="3">
        <f t="shared" si="11"/>
        <v>5.166666666666667</v>
      </c>
      <c r="L18" s="3">
        <f t="shared" si="12"/>
        <v>3.75</v>
      </c>
    </row>
    <row r="19" spans="1:12" x14ac:dyDescent="0.35">
      <c r="A19" s="3">
        <f t="shared" si="2"/>
        <v>13</v>
      </c>
      <c r="B19" s="3" t="str">
        <f t="shared" si="3"/>
        <v>A1</v>
      </c>
      <c r="C19" s="3" t="str">
        <f t="shared" si="4"/>
        <v>A</v>
      </c>
      <c r="D19" s="3">
        <f t="shared" si="5"/>
        <v>70</v>
      </c>
      <c r="E19" s="3">
        <f t="shared" si="6"/>
        <v>56</v>
      </c>
      <c r="F19" s="3">
        <f t="shared" si="7"/>
        <v>38</v>
      </c>
      <c r="G19" s="3">
        <f t="shared" si="8"/>
        <v>53</v>
      </c>
      <c r="H19" s="3">
        <f t="shared" si="9"/>
        <v>66</v>
      </c>
      <c r="I19" s="3">
        <f t="shared" si="10"/>
        <v>54</v>
      </c>
      <c r="J19" s="3"/>
      <c r="K19" s="3">
        <f t="shared" si="11"/>
        <v>5.384615384615385</v>
      </c>
      <c r="L19" s="3">
        <f t="shared" si="12"/>
        <v>4.0769230769230766</v>
      </c>
    </row>
    <row r="20" spans="1:12" x14ac:dyDescent="0.35">
      <c r="A20" s="3">
        <f t="shared" si="2"/>
        <v>14</v>
      </c>
      <c r="B20" s="3" t="str">
        <f t="shared" si="3"/>
        <v>A1</v>
      </c>
      <c r="C20" s="3" t="str">
        <f t="shared" si="4"/>
        <v>A</v>
      </c>
      <c r="D20" s="3">
        <f t="shared" si="5"/>
        <v>78</v>
      </c>
      <c r="E20" s="3">
        <f t="shared" si="6"/>
        <v>58</v>
      </c>
      <c r="F20" s="3">
        <f t="shared" si="7"/>
        <v>39</v>
      </c>
      <c r="G20" s="3">
        <f t="shared" si="8"/>
        <v>61</v>
      </c>
      <c r="H20" s="3">
        <f t="shared" si="9"/>
        <v>70</v>
      </c>
      <c r="I20" s="3">
        <f t="shared" si="10"/>
        <v>56</v>
      </c>
      <c r="J20" s="3"/>
      <c r="K20" s="3">
        <f t="shared" si="11"/>
        <v>5.5714285714285712</v>
      </c>
      <c r="L20" s="3">
        <f t="shared" si="12"/>
        <v>4</v>
      </c>
    </row>
    <row r="21" spans="1:12" x14ac:dyDescent="0.35">
      <c r="A21" s="3">
        <f t="shared" si="2"/>
        <v>15</v>
      </c>
      <c r="B21" s="3" t="str">
        <f t="shared" si="3"/>
        <v>A1</v>
      </c>
      <c r="C21" s="3" t="str">
        <f t="shared" si="4"/>
        <v>C</v>
      </c>
      <c r="D21" s="3">
        <f t="shared" si="5"/>
        <v>80</v>
      </c>
      <c r="E21" s="3">
        <f t="shared" si="6"/>
        <v>62</v>
      </c>
      <c r="F21" s="3">
        <f t="shared" si="7"/>
        <v>47</v>
      </c>
      <c r="G21" s="3">
        <f t="shared" si="8"/>
        <v>69</v>
      </c>
      <c r="H21" s="3">
        <f t="shared" si="9"/>
        <v>74</v>
      </c>
      <c r="I21" s="3">
        <f t="shared" si="10"/>
        <v>58</v>
      </c>
      <c r="J21" s="3"/>
      <c r="K21" s="3">
        <f t="shared" si="11"/>
        <v>5.333333333333333</v>
      </c>
      <c r="L21" s="3">
        <f t="shared" si="12"/>
        <v>3.8666666666666667</v>
      </c>
    </row>
    <row r="22" spans="1:12" x14ac:dyDescent="0.35">
      <c r="A22" s="3">
        <f t="shared" si="2"/>
        <v>16</v>
      </c>
      <c r="B22" s="3" t="str">
        <f t="shared" si="3"/>
        <v>A1</v>
      </c>
      <c r="C22" s="3" t="str">
        <f t="shared" si="4"/>
        <v>C</v>
      </c>
      <c r="D22" s="3">
        <f t="shared" si="5"/>
        <v>82</v>
      </c>
      <c r="E22" s="3">
        <f t="shared" si="6"/>
        <v>66</v>
      </c>
      <c r="F22" s="3">
        <f t="shared" si="7"/>
        <v>55</v>
      </c>
      <c r="G22" s="3">
        <f t="shared" si="8"/>
        <v>77</v>
      </c>
      <c r="H22" s="3">
        <f t="shared" si="9"/>
        <v>78</v>
      </c>
      <c r="I22" s="3">
        <f t="shared" si="10"/>
        <v>60</v>
      </c>
      <c r="J22" s="3"/>
      <c r="K22" s="3">
        <f t="shared" si="11"/>
        <v>5.125</v>
      </c>
      <c r="L22" s="3">
        <f t="shared" si="12"/>
        <v>3.75</v>
      </c>
    </row>
    <row r="23" spans="1:12" x14ac:dyDescent="0.35">
      <c r="A23" s="3">
        <f t="shared" si="2"/>
        <v>17</v>
      </c>
      <c r="B23" s="3" t="str">
        <f t="shared" si="3"/>
        <v>A1</v>
      </c>
      <c r="C23" s="3" t="str">
        <f t="shared" si="4"/>
        <v>C</v>
      </c>
      <c r="D23" s="3">
        <f t="shared" si="5"/>
        <v>84</v>
      </c>
      <c r="E23" s="3">
        <f t="shared" si="6"/>
        <v>70</v>
      </c>
      <c r="F23" s="3">
        <f t="shared" si="7"/>
        <v>63</v>
      </c>
      <c r="G23" s="3">
        <f t="shared" si="8"/>
        <v>85</v>
      </c>
      <c r="H23" s="3">
        <f t="shared" si="9"/>
        <v>82</v>
      </c>
      <c r="I23" s="3">
        <f t="shared" si="10"/>
        <v>62</v>
      </c>
      <c r="J23" s="3"/>
      <c r="K23" s="3">
        <f t="shared" si="11"/>
        <v>4.9411764705882355</v>
      </c>
      <c r="L23" s="3">
        <f t="shared" si="12"/>
        <v>3.6470588235294117</v>
      </c>
    </row>
    <row r="24" spans="1:12" x14ac:dyDescent="0.35">
      <c r="A24" s="3">
        <f t="shared" si="2"/>
        <v>18</v>
      </c>
      <c r="B24" s="3" t="str">
        <f t="shared" si="3"/>
        <v>A1</v>
      </c>
      <c r="C24" s="3" t="str">
        <f t="shared" si="4"/>
        <v>C</v>
      </c>
      <c r="D24" s="3">
        <f t="shared" si="5"/>
        <v>86</v>
      </c>
      <c r="E24" s="3">
        <f t="shared" si="6"/>
        <v>74</v>
      </c>
      <c r="F24" s="3">
        <f t="shared" si="7"/>
        <v>71</v>
      </c>
      <c r="G24" s="3">
        <f t="shared" si="8"/>
        <v>93</v>
      </c>
      <c r="H24" s="3">
        <f t="shared" si="9"/>
        <v>86</v>
      </c>
      <c r="I24" s="3">
        <f t="shared" si="10"/>
        <v>64</v>
      </c>
      <c r="J24" s="3"/>
      <c r="K24" s="3">
        <f t="shared" si="11"/>
        <v>4.7777777777777777</v>
      </c>
      <c r="L24" s="3">
        <f t="shared" si="12"/>
        <v>3.5555555555555554</v>
      </c>
    </row>
    <row r="25" spans="1:12" x14ac:dyDescent="0.35">
      <c r="A25" s="3">
        <f t="shared" si="2"/>
        <v>19</v>
      </c>
      <c r="B25" s="3" t="str">
        <f t="shared" si="3"/>
        <v>A1</v>
      </c>
      <c r="C25" s="3" t="str">
        <f t="shared" si="4"/>
        <v>C</v>
      </c>
      <c r="D25" s="3">
        <f t="shared" si="5"/>
        <v>88</v>
      </c>
      <c r="E25" s="3">
        <f t="shared" si="6"/>
        <v>78</v>
      </c>
      <c r="F25" s="3">
        <f t="shared" si="7"/>
        <v>79</v>
      </c>
      <c r="G25" s="3">
        <f t="shared" si="8"/>
        <v>101</v>
      </c>
      <c r="H25" s="3">
        <f t="shared" si="9"/>
        <v>90</v>
      </c>
      <c r="I25" s="3">
        <f t="shared" si="10"/>
        <v>66</v>
      </c>
      <c r="J25" s="3"/>
      <c r="K25" s="3">
        <f t="shared" si="11"/>
        <v>4.6315789473684212</v>
      </c>
      <c r="L25" s="3">
        <f t="shared" si="12"/>
        <v>3.4736842105263159</v>
      </c>
    </row>
    <row r="26" spans="1:12" x14ac:dyDescent="0.35">
      <c r="A26" s="3">
        <f t="shared" si="2"/>
        <v>20</v>
      </c>
      <c r="B26" s="3" t="str">
        <f t="shared" si="3"/>
        <v>A1</v>
      </c>
      <c r="C26" s="3" t="str">
        <f t="shared" si="4"/>
        <v>C</v>
      </c>
      <c r="D26" s="3">
        <f t="shared" si="5"/>
        <v>90</v>
      </c>
      <c r="E26" s="3">
        <f t="shared" si="6"/>
        <v>82</v>
      </c>
      <c r="F26" s="3">
        <f t="shared" si="7"/>
        <v>87</v>
      </c>
      <c r="G26" s="3">
        <f t="shared" si="8"/>
        <v>109</v>
      </c>
      <c r="H26" s="3">
        <f t="shared" si="9"/>
        <v>94</v>
      </c>
      <c r="I26" s="3">
        <f t="shared" si="10"/>
        <v>68</v>
      </c>
      <c r="J26" s="3"/>
      <c r="K26" s="3">
        <f t="shared" si="11"/>
        <v>4.5</v>
      </c>
      <c r="L26" s="3">
        <f t="shared" si="12"/>
        <v>3.4</v>
      </c>
    </row>
    <row r="27" spans="1:12" x14ac:dyDescent="0.35">
      <c r="A27" t="s">
        <v>0</v>
      </c>
      <c r="B27">
        <f>COUNTIF(B7:B26, $A$2)/20</f>
        <v>0.6</v>
      </c>
      <c r="C27">
        <f>COUNTIF(C7:C26, $B$1)/20</f>
        <v>0.35</v>
      </c>
      <c r="D27" t="s">
        <v>7</v>
      </c>
      <c r="K27">
        <f>MIN(K7:K26)</f>
        <v>4.5</v>
      </c>
      <c r="L27">
        <f>MAX(L7:L26)</f>
        <v>4.0769230769230766</v>
      </c>
    </row>
    <row r="28" spans="1:12" x14ac:dyDescent="0.35">
      <c r="A28" t="s">
        <v>1</v>
      </c>
      <c r="B28">
        <f>COUNTIF(B7:B26, $A$3)/20</f>
        <v>0.25</v>
      </c>
      <c r="C28">
        <f>COUNTIF(C7:C26, $C$1)/20</f>
        <v>0.2</v>
      </c>
      <c r="D28" t="s">
        <v>8</v>
      </c>
    </row>
    <row r="29" spans="1:12" x14ac:dyDescent="0.35">
      <c r="A29" t="s">
        <v>2</v>
      </c>
      <c r="B29">
        <f>COUNTIF(B7:B26, $A$4)/20</f>
        <v>0.15</v>
      </c>
      <c r="C29">
        <f>COUNTIF(C7:C26, $D$1)/20</f>
        <v>0.45</v>
      </c>
      <c r="D29" t="s">
        <v>9</v>
      </c>
    </row>
    <row r="30" spans="1:12" x14ac:dyDescent="0.35">
      <c r="B30" s="1"/>
      <c r="C30" s="1"/>
      <c r="D30" s="1"/>
      <c r="E30" s="1"/>
      <c r="F30" s="1"/>
      <c r="G30" s="1"/>
      <c r="H30" s="1"/>
    </row>
  </sheetData>
  <mergeCells count="3">
    <mergeCell ref="B30:C30"/>
    <mergeCell ref="D30:H30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Вариант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danya</dc:creator>
  <cp:lastModifiedBy>danya.volya@gmail.com</cp:lastModifiedBy>
  <dcterms:created xsi:type="dcterms:W3CDTF">2015-06-05T18:19:34Z</dcterms:created>
  <dcterms:modified xsi:type="dcterms:W3CDTF">2026-06-24T07:07:13Z</dcterms:modified>
</cp:coreProperties>
</file>